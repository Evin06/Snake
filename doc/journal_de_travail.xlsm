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viparamana\Documents\GitHub\Snake\doc\"/>
    </mc:Choice>
  </mc:AlternateContent>
  <bookViews>
    <workbookView xWindow="0" yWindow="0" windowWidth="28800" windowHeight="12300" activeTab="6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66" l="1"/>
  <c r="B17" i="169" l="1"/>
  <c r="B15" i="169"/>
  <c r="B13" i="169"/>
  <c r="B11" i="169"/>
  <c r="B9" i="169"/>
  <c r="B7" i="169"/>
  <c r="B5" i="169"/>
  <c r="C20" i="169"/>
  <c r="C19" i="169"/>
  <c r="D115" i="166" l="1"/>
  <c r="D96" i="166"/>
  <c r="D77" i="166"/>
  <c r="D58" i="166"/>
  <c r="D39" i="166"/>
  <c r="D20" i="166"/>
  <c r="D1" i="166"/>
  <c r="B151" i="166"/>
  <c r="B132" i="166"/>
  <c r="B113" i="166"/>
  <c r="B94" i="166"/>
  <c r="B75" i="166"/>
  <c r="B56" i="166"/>
  <c r="B37" i="166"/>
  <c r="B18" i="166"/>
  <c r="B18" i="154" l="1"/>
  <c r="B13" i="11" l="1"/>
</calcChain>
</file>

<file path=xl/sharedStrings.xml><?xml version="1.0" encoding="utf-8"?>
<sst xmlns="http://schemas.openxmlformats.org/spreadsheetml/2006/main" count="187" uniqueCount="75">
  <si>
    <t>Semestre</t>
  </si>
  <si>
    <t>Prénom - nom :</t>
  </si>
  <si>
    <t>Evin Paramanathan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</si>
  <si>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</si>
  <si>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</si>
  <si>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</si>
  <si>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</si>
  <si>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</si>
  <si>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</si>
  <si>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</si>
  <si>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</si>
  <si>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</si>
  <si>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</si>
  <si>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</si>
  <si>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</si>
  <si>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Autre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</si>
  <si>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</si>
  <si>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</si>
  <si>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</si>
  <si>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</si>
  <si>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</si>
  <si>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</si>
  <si>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</si>
  <si>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</si>
  <si>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</si>
  <si>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</si>
  <si>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</si>
  <si>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</si>
  <si>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 1</t>
  </si>
  <si>
    <t>S 2</t>
  </si>
  <si>
    <t>S 3</t>
  </si>
  <si>
    <t>S 4</t>
  </si>
  <si>
    <t>STOP</t>
  </si>
  <si>
    <t>CID2B</t>
  </si>
  <si>
    <t xml:space="preserve">Sébeillon /1004 Lausanne </t>
  </si>
  <si>
    <t>Rapport</t>
  </si>
  <si>
    <t>Apprentissage JS</t>
  </si>
  <si>
    <t>Snake JS</t>
  </si>
  <si>
    <t>Git</t>
  </si>
  <si>
    <t>Max. 15</t>
  </si>
  <si>
    <t>S 5</t>
  </si>
  <si>
    <t>S 6</t>
  </si>
  <si>
    <t>S 7</t>
  </si>
  <si>
    <t>S 8</t>
  </si>
  <si>
    <t>Théorie</t>
  </si>
  <si>
    <t>Introduction</t>
  </si>
  <si>
    <t xml:space="preserve">Mise en place du rapport </t>
  </si>
  <si>
    <t xml:space="preserve">regarder la doc </t>
  </si>
  <si>
    <t>lancer le code grace au RPM</t>
  </si>
  <si>
    <t xml:space="preserve">Mise en place du journal de travail + rédaction de la semiaine </t>
  </si>
  <si>
    <t>mise en place et commit les premieres modif de la doc et du projet Snake</t>
  </si>
  <si>
    <t xml:space="preserve">Commencer l'introduction + la partie apprentissage </t>
  </si>
  <si>
    <t>Regarder des tutos et lire la doc JS</t>
  </si>
  <si>
    <t xml:space="preserve">Commit </t>
  </si>
  <si>
    <t xml:space="preserve">Affichage du snake + deplacement du snake </t>
  </si>
  <si>
    <t xml:space="preserve">Video et site internet </t>
  </si>
  <si>
    <t>Deplacement du snake, game over, Pomme + affichage random</t>
  </si>
  <si>
    <t xml:space="preserve">continuer le rapport </t>
  </si>
  <si>
    <t xml:space="preserve">faire de commit et </t>
  </si>
  <si>
    <t xml:space="preserve">regarder un tuto </t>
  </si>
  <si>
    <t xml:space="preserve">regarder les projets de mes collegues </t>
  </si>
  <si>
    <t xml:space="preserve">continuer le snake </t>
  </si>
  <si>
    <t xml:space="preserve">recherche pour continuer la doc </t>
  </si>
  <si>
    <t>continuer le rapport /memo</t>
  </si>
  <si>
    <t>ajout du snake et essayer de faire suivre le corps a la tete</t>
  </si>
  <si>
    <t xml:space="preserve">commit </t>
  </si>
  <si>
    <t>Continuer le rapport (la partie rapport )</t>
  </si>
  <si>
    <t xml:space="preserve">finir la partie ou le corps suis la tete et modifier le game over </t>
  </si>
  <si>
    <t>semaine 6</t>
  </si>
  <si>
    <t xml:space="preserve">faire des recherches sur des terms en js pour le rapport </t>
  </si>
  <si>
    <t xml:space="preserve">semaine 7 </t>
  </si>
  <si>
    <t xml:space="preserve">continuer un peu le rapport </t>
  </si>
  <si>
    <t>Commancer le SelfServiceMachineInitial (Borne Mcdo)</t>
  </si>
  <si>
    <t>recherche pour faire projet selfservice Mcdo</t>
  </si>
  <si>
    <t xml:space="preserve">Auto évaluation + evaluation 80% avec prof + devops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</si>
</sst>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1" fontId="16" fillId="6" borderId="35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</xdr:row>
          <xdr:rowOff>0</xdr:rowOff>
        </xdr:from>
        <xdr:to>
          <xdr:col>6</xdr:col>
          <xdr:colOff>38100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F12" sqref="F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33</v>
      </c>
      <c r="D5" s="59"/>
      <c r="E5" s="59"/>
      <c r="F5" s="59"/>
      <c r="G5" s="60"/>
    </row>
    <row r="6" spans="1:7" ht="21" thickBot="1" x14ac:dyDescent="0.3">
      <c r="A6" s="58"/>
      <c r="B6" s="65" t="s">
        <v>4</v>
      </c>
      <c r="C6" s="66" t="s">
        <v>34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45237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45603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5" t="s">
        <v>11</v>
      </c>
      <c r="C19" s="126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69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0" t="s">
        <v>13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3</xdr:col>
                <xdr:colOff>200025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123" ht="14.25" thickBot="1" x14ac:dyDescent="0.3">
      <c r="B1" s="87"/>
      <c r="C1" s="87"/>
    </row>
    <row r="2" spans="1:123" ht="42.75" customHeight="1" thickBot="1" x14ac:dyDescent="0.3">
      <c r="A2" s="88"/>
      <c r="B2" s="89" t="s">
        <v>16</v>
      </c>
      <c r="C2" s="90" t="s">
        <v>17</v>
      </c>
      <c r="D2" s="129" t="s">
        <v>28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1"/>
      <c r="S2" s="129" t="s">
        <v>29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1"/>
      <c r="AH2" s="129" t="s">
        <v>30</v>
      </c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1"/>
      <c r="AW2" s="129" t="s">
        <v>31</v>
      </c>
      <c r="AX2" s="130"/>
      <c r="AY2" s="130"/>
      <c r="AZ2" s="130"/>
      <c r="BA2" s="130"/>
      <c r="BB2" s="130"/>
      <c r="BC2" s="130"/>
      <c r="BD2" s="130"/>
      <c r="BE2" s="130"/>
      <c r="BF2" s="130"/>
      <c r="BG2" s="130"/>
      <c r="BH2" s="130"/>
      <c r="BI2" s="130"/>
      <c r="BJ2" s="130"/>
      <c r="BK2" s="131"/>
      <c r="BL2" s="129" t="s">
        <v>40</v>
      </c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0"/>
      <c r="BX2" s="130"/>
      <c r="BY2" s="130"/>
      <c r="BZ2" s="131"/>
      <c r="CA2" s="129" t="s">
        <v>41</v>
      </c>
      <c r="CB2" s="130"/>
      <c r="CC2" s="130"/>
      <c r="CD2" s="130"/>
      <c r="CE2" s="130"/>
      <c r="CF2" s="130"/>
      <c r="CG2" s="130"/>
      <c r="CH2" s="130"/>
      <c r="CI2" s="130"/>
      <c r="CJ2" s="130"/>
      <c r="CK2" s="130"/>
      <c r="CL2" s="130"/>
      <c r="CM2" s="130"/>
      <c r="CN2" s="130"/>
      <c r="CO2" s="131"/>
      <c r="CP2" s="129" t="s">
        <v>42</v>
      </c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30"/>
      <c r="DC2" s="130"/>
      <c r="DD2" s="131"/>
      <c r="DE2" s="129" t="s">
        <v>43</v>
      </c>
      <c r="DF2" s="130"/>
      <c r="DG2" s="130"/>
      <c r="DH2" s="130"/>
      <c r="DI2" s="130"/>
      <c r="DJ2" s="130"/>
      <c r="DK2" s="130"/>
      <c r="DL2" s="130"/>
      <c r="DM2" s="130"/>
      <c r="DN2" s="130"/>
      <c r="DO2" s="130"/>
      <c r="DP2" s="130"/>
      <c r="DQ2" s="130"/>
      <c r="DR2" s="130"/>
      <c r="DS2" s="131"/>
    </row>
    <row r="3" spans="1:123" ht="19.5" customHeight="1" x14ac:dyDescent="0.25">
      <c r="A3" s="88"/>
      <c r="B3" s="132" t="s">
        <v>18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  <c r="DE3" s="92"/>
      <c r="DF3" s="93"/>
      <c r="DG3" s="94"/>
      <c r="DH3" s="95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</row>
    <row r="4" spans="1:123" ht="19.5" customHeight="1" thickBot="1" x14ac:dyDescent="0.3">
      <c r="A4" s="88"/>
      <c r="B4" s="133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0"/>
      <c r="P4" s="101"/>
      <c r="Q4" s="99"/>
      <c r="R4" s="102"/>
      <c r="S4" s="98"/>
      <c r="T4" s="99"/>
      <c r="U4" s="100"/>
      <c r="V4" s="101"/>
      <c r="W4" s="99"/>
      <c r="X4" s="100"/>
      <c r="Y4" s="101"/>
      <c r="Z4" s="99"/>
      <c r="AA4" s="100"/>
      <c r="AB4" s="101"/>
      <c r="AC4" s="99"/>
      <c r="AD4" s="100"/>
      <c r="AE4" s="101"/>
      <c r="AF4" s="99"/>
      <c r="AG4" s="102"/>
      <c r="AH4" s="98"/>
      <c r="AI4" s="99"/>
      <c r="AJ4" s="100"/>
      <c r="AK4" s="101"/>
      <c r="AL4" s="99"/>
      <c r="AM4" s="100"/>
      <c r="AN4" s="101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0"/>
      <c r="BX4" s="101"/>
      <c r="BY4" s="99"/>
      <c r="BZ4" s="102"/>
      <c r="CA4" s="98"/>
      <c r="CB4" s="99"/>
      <c r="CC4" s="100"/>
      <c r="CD4" s="101"/>
      <c r="CE4" s="99"/>
      <c r="CF4" s="100"/>
      <c r="CG4" s="101"/>
      <c r="CH4" s="99"/>
      <c r="CI4" s="100"/>
      <c r="CJ4" s="101"/>
      <c r="CK4" s="99"/>
      <c r="CL4" s="100"/>
      <c r="CM4" s="101"/>
      <c r="CN4" s="99"/>
      <c r="CO4" s="102"/>
      <c r="CP4" s="98"/>
      <c r="CQ4" s="99"/>
      <c r="CR4" s="100"/>
      <c r="CS4" s="101"/>
      <c r="CT4" s="99"/>
      <c r="CU4" s="100"/>
      <c r="CV4" s="101"/>
      <c r="CW4" s="99"/>
      <c r="CX4" s="100"/>
      <c r="CY4" s="101"/>
      <c r="CZ4" s="99"/>
      <c r="DA4" s="100"/>
      <c r="DB4" s="101"/>
      <c r="DC4" s="99"/>
      <c r="DD4" s="102"/>
      <c r="DE4" s="98"/>
      <c r="DF4" s="99"/>
      <c r="DG4" s="100"/>
      <c r="DH4" s="101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</row>
    <row r="5" spans="1:123" ht="19.5" customHeight="1" x14ac:dyDescent="0.25">
      <c r="B5" s="134" t="str">
        <f>Donnees!$C$21</f>
        <v>Rapport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  <c r="DE5" s="92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</row>
    <row r="6" spans="1:123" ht="19.5" customHeight="1" thickBot="1" x14ac:dyDescent="0.3">
      <c r="B6" s="128"/>
      <c r="C6" s="104">
        <v>25</v>
      </c>
      <c r="D6" s="98"/>
      <c r="E6" s="99"/>
      <c r="F6" s="122"/>
      <c r="G6" s="123"/>
      <c r="H6" s="99"/>
      <c r="I6" s="100"/>
      <c r="J6" s="101"/>
      <c r="K6" s="99"/>
      <c r="L6" s="100"/>
      <c r="M6" s="101"/>
      <c r="N6" s="99"/>
      <c r="O6" s="100"/>
      <c r="P6" s="123"/>
      <c r="Q6" s="121"/>
      <c r="R6" s="102"/>
      <c r="S6" s="98"/>
      <c r="T6" s="99"/>
      <c r="U6" s="100"/>
      <c r="V6" s="101"/>
      <c r="W6" s="99"/>
      <c r="X6" s="100"/>
      <c r="Y6" s="101"/>
      <c r="Z6" s="99"/>
      <c r="AA6" s="100"/>
      <c r="AB6" s="101"/>
      <c r="AC6" s="99"/>
      <c r="AD6" s="122"/>
      <c r="AE6" s="101"/>
      <c r="AF6" s="99"/>
      <c r="AG6" s="102"/>
      <c r="AH6" s="98"/>
      <c r="AI6" s="99"/>
      <c r="AJ6" s="100"/>
      <c r="AK6" s="101"/>
      <c r="AL6" s="99"/>
      <c r="AM6" s="100"/>
      <c r="AN6" s="101"/>
      <c r="AO6" s="99"/>
      <c r="AP6" s="100"/>
      <c r="AQ6" s="101"/>
      <c r="AR6" s="121"/>
      <c r="AS6" s="122"/>
      <c r="AT6" s="123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0"/>
      <c r="BF6" s="101"/>
      <c r="BG6" s="99"/>
      <c r="BH6" s="122"/>
      <c r="BI6" s="123"/>
      <c r="BJ6" s="121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23"/>
      <c r="BV6" s="121"/>
      <c r="BW6" s="122"/>
      <c r="BX6" s="123"/>
      <c r="BY6" s="121"/>
      <c r="BZ6" s="124"/>
      <c r="CA6" s="120"/>
      <c r="CB6" s="121"/>
      <c r="CC6" s="100"/>
      <c r="CD6" s="101"/>
      <c r="CE6" s="99"/>
      <c r="CF6" s="100"/>
      <c r="CG6" s="101"/>
      <c r="CH6" s="99"/>
      <c r="CI6" s="100"/>
      <c r="CJ6" s="123"/>
      <c r="CK6" s="121"/>
      <c r="CL6" s="122"/>
      <c r="CM6" s="123"/>
      <c r="CN6" s="121"/>
      <c r="CO6" s="102"/>
      <c r="CP6" s="98"/>
      <c r="CQ6" s="99"/>
      <c r="CR6" s="100"/>
      <c r="CS6" s="101"/>
      <c r="CT6" s="99"/>
      <c r="CU6" s="100"/>
      <c r="CV6" s="101"/>
      <c r="CW6" s="99"/>
      <c r="CX6" s="100"/>
      <c r="CY6" s="101"/>
      <c r="CZ6" s="99"/>
      <c r="DA6" s="100"/>
      <c r="DB6" s="101"/>
      <c r="DC6" s="99"/>
      <c r="DD6" s="102"/>
      <c r="DE6" s="98"/>
      <c r="DF6" s="99"/>
      <c r="DG6" s="100"/>
      <c r="DH6" s="101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</row>
    <row r="7" spans="1:123" ht="19.5" customHeight="1" x14ac:dyDescent="0.25">
      <c r="B7" s="134" t="str">
        <f>Donnees!$C$22</f>
        <v>Apprentissage JS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  <c r="DE7" s="92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</row>
    <row r="8" spans="1:123" ht="19.5" customHeight="1" thickBot="1" x14ac:dyDescent="0.3">
      <c r="B8" s="128"/>
      <c r="C8" s="104">
        <v>16</v>
      </c>
      <c r="D8" s="98"/>
      <c r="E8" s="99"/>
      <c r="F8" s="100"/>
      <c r="G8" s="101"/>
      <c r="H8" s="99"/>
      <c r="I8" s="100"/>
      <c r="J8" s="123"/>
      <c r="K8" s="121"/>
      <c r="L8" s="122"/>
      <c r="M8" s="123"/>
      <c r="N8" s="99"/>
      <c r="O8" s="100"/>
      <c r="P8" s="101"/>
      <c r="Q8" s="99"/>
      <c r="R8" s="124"/>
      <c r="S8" s="120"/>
      <c r="T8" s="121"/>
      <c r="U8" s="122"/>
      <c r="V8" s="101"/>
      <c r="W8" s="99"/>
      <c r="X8" s="100"/>
      <c r="Y8" s="101"/>
      <c r="Z8" s="99"/>
      <c r="AA8" s="100"/>
      <c r="AB8" s="101"/>
      <c r="AC8" s="99"/>
      <c r="AD8" s="100"/>
      <c r="AE8" s="101"/>
      <c r="AF8" s="121"/>
      <c r="AG8" s="124"/>
      <c r="AH8" s="120"/>
      <c r="AI8" s="99"/>
      <c r="AJ8" s="100"/>
      <c r="AK8" s="101"/>
      <c r="AL8" s="99"/>
      <c r="AM8" s="100"/>
      <c r="AN8" s="101"/>
      <c r="AO8" s="99"/>
      <c r="AP8" s="100"/>
      <c r="AQ8" s="101"/>
      <c r="AR8" s="99"/>
      <c r="AS8" s="100"/>
      <c r="AT8" s="101"/>
      <c r="AU8" s="99"/>
      <c r="AV8" s="124"/>
      <c r="AW8" s="120"/>
      <c r="AX8" s="121"/>
      <c r="AY8" s="100"/>
      <c r="AZ8" s="101"/>
      <c r="BA8" s="99"/>
      <c r="BB8" s="100"/>
      <c r="BC8" s="101"/>
      <c r="BD8" s="99"/>
      <c r="BE8" s="100"/>
      <c r="BF8" s="123"/>
      <c r="BG8" s="121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0"/>
      <c r="BX8" s="101"/>
      <c r="BY8" s="99"/>
      <c r="BZ8" s="102"/>
      <c r="CA8" s="98"/>
      <c r="CB8" s="99"/>
      <c r="CC8" s="100"/>
      <c r="CD8" s="101"/>
      <c r="CE8" s="99"/>
      <c r="CF8" s="100"/>
      <c r="CG8" s="101"/>
      <c r="CH8" s="99"/>
      <c r="CI8" s="100"/>
      <c r="CJ8" s="101"/>
      <c r="CK8" s="99"/>
      <c r="CL8" s="100"/>
      <c r="CM8" s="101"/>
      <c r="CN8" s="99"/>
      <c r="CO8" s="102"/>
      <c r="CP8" s="98"/>
      <c r="CQ8" s="99"/>
      <c r="CR8" s="100"/>
      <c r="CS8" s="101"/>
      <c r="CT8" s="99"/>
      <c r="CU8" s="100"/>
      <c r="CV8" s="101"/>
      <c r="CW8" s="99"/>
      <c r="CX8" s="100"/>
      <c r="CY8" s="101"/>
      <c r="CZ8" s="99"/>
      <c r="DA8" s="100"/>
      <c r="DB8" s="101"/>
      <c r="DC8" s="99"/>
      <c r="DD8" s="102"/>
      <c r="DE8" s="98"/>
      <c r="DF8" s="99"/>
      <c r="DG8" s="100"/>
      <c r="DH8" s="101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</row>
    <row r="9" spans="1:123" ht="19.5" customHeight="1" x14ac:dyDescent="0.25">
      <c r="B9" s="134" t="str">
        <f>Donnees!$C$23</f>
        <v>Snake JS</v>
      </c>
      <c r="C9" s="103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  <c r="DE9" s="92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</row>
    <row r="10" spans="1:123" ht="19.5" customHeight="1" thickBot="1" x14ac:dyDescent="0.3">
      <c r="B10" s="128"/>
      <c r="C10" s="104">
        <v>35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121"/>
      <c r="O10" s="122"/>
      <c r="P10" s="101"/>
      <c r="Q10" s="99"/>
      <c r="R10" s="102"/>
      <c r="S10" s="98"/>
      <c r="T10" s="99"/>
      <c r="U10" s="100"/>
      <c r="V10" s="101"/>
      <c r="W10" s="121"/>
      <c r="X10" s="122"/>
      <c r="Y10" s="123"/>
      <c r="Z10" s="121"/>
      <c r="AA10" s="122"/>
      <c r="AB10" s="123"/>
      <c r="AC10" s="121"/>
      <c r="AD10" s="100"/>
      <c r="AE10" s="101"/>
      <c r="AF10" s="99"/>
      <c r="AG10" s="102"/>
      <c r="AH10" s="98"/>
      <c r="AI10" s="121"/>
      <c r="AJ10" s="122"/>
      <c r="AK10" s="123"/>
      <c r="AL10" s="121"/>
      <c r="AM10" s="122"/>
      <c r="AN10" s="123"/>
      <c r="AO10" s="121"/>
      <c r="AP10" s="122"/>
      <c r="AQ10" s="123"/>
      <c r="AR10" s="99"/>
      <c r="AS10" s="100"/>
      <c r="AT10" s="101"/>
      <c r="AU10" s="99"/>
      <c r="AV10" s="102"/>
      <c r="AW10" s="98"/>
      <c r="AX10" s="99"/>
      <c r="AY10" s="100"/>
      <c r="AZ10" s="123"/>
      <c r="BA10" s="121"/>
      <c r="BB10" s="122"/>
      <c r="BC10" s="123"/>
      <c r="BD10" s="121"/>
      <c r="BE10" s="122"/>
      <c r="BF10" s="101"/>
      <c r="BG10" s="99"/>
      <c r="BH10" s="100"/>
      <c r="BI10" s="101"/>
      <c r="BJ10" s="99"/>
      <c r="BK10" s="102"/>
      <c r="BL10" s="98"/>
      <c r="BM10" s="121"/>
      <c r="BN10" s="122"/>
      <c r="BO10" s="123"/>
      <c r="BP10" s="121"/>
      <c r="BQ10" s="122"/>
      <c r="BR10" s="123"/>
      <c r="BS10" s="121"/>
      <c r="BT10" s="100"/>
      <c r="BU10" s="101"/>
      <c r="BV10" s="99"/>
      <c r="BW10" s="100"/>
      <c r="BX10" s="101"/>
      <c r="BY10" s="99"/>
      <c r="BZ10" s="102"/>
      <c r="CA10" s="98"/>
      <c r="CB10" s="99"/>
      <c r="CC10" s="122"/>
      <c r="CD10" s="123"/>
      <c r="CE10" s="121"/>
      <c r="CF10" s="122"/>
      <c r="CG10" s="101"/>
      <c r="CH10" s="99"/>
      <c r="CI10" s="100"/>
      <c r="CJ10" s="101"/>
      <c r="CK10" s="99"/>
      <c r="CL10" s="100"/>
      <c r="CM10" s="101"/>
      <c r="CN10" s="99"/>
      <c r="CO10" s="102"/>
      <c r="CP10" s="98"/>
      <c r="CQ10" s="99"/>
      <c r="CR10" s="100"/>
      <c r="CS10" s="101"/>
      <c r="CT10" s="99"/>
      <c r="CU10" s="100"/>
      <c r="CV10" s="101"/>
      <c r="CW10" s="99"/>
      <c r="CX10" s="100"/>
      <c r="CY10" s="101"/>
      <c r="CZ10" s="99"/>
      <c r="DA10" s="100"/>
      <c r="DB10" s="101"/>
      <c r="DC10" s="99"/>
      <c r="DD10" s="102"/>
      <c r="DE10" s="98"/>
      <c r="DF10" s="99"/>
      <c r="DG10" s="100"/>
      <c r="DH10" s="101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</row>
    <row r="11" spans="1:123" ht="19.5" customHeight="1" x14ac:dyDescent="0.25">
      <c r="B11" s="134" t="str">
        <f>Donnees!$C$24</f>
        <v>Théorie</v>
      </c>
      <c r="C11" s="103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  <c r="DE11" s="92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</row>
    <row r="12" spans="1:123" ht="19.5" customHeight="1" thickBot="1" x14ac:dyDescent="0.3">
      <c r="B12" s="128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0"/>
      <c r="P12" s="101"/>
      <c r="Q12" s="99"/>
      <c r="R12" s="102"/>
      <c r="S12" s="98"/>
      <c r="T12" s="99"/>
      <c r="U12" s="100"/>
      <c r="V12" s="101"/>
      <c r="W12" s="99"/>
      <c r="X12" s="100"/>
      <c r="Y12" s="101"/>
      <c r="Z12" s="99"/>
      <c r="AA12" s="100"/>
      <c r="AB12" s="101"/>
      <c r="AC12" s="99"/>
      <c r="AD12" s="100"/>
      <c r="AE12" s="101"/>
      <c r="AF12" s="99"/>
      <c r="AG12" s="102"/>
      <c r="AH12" s="98"/>
      <c r="AI12" s="99"/>
      <c r="AJ12" s="100"/>
      <c r="AK12" s="101"/>
      <c r="AL12" s="99"/>
      <c r="AM12" s="100"/>
      <c r="AN12" s="101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0"/>
      <c r="BX12" s="101"/>
      <c r="BY12" s="99"/>
      <c r="BZ12" s="102"/>
      <c r="CA12" s="98"/>
      <c r="CB12" s="99"/>
      <c r="CC12" s="100"/>
      <c r="CD12" s="101"/>
      <c r="CE12" s="99"/>
      <c r="CF12" s="100"/>
      <c r="CG12" s="101"/>
      <c r="CH12" s="99"/>
      <c r="CI12" s="100"/>
      <c r="CJ12" s="101"/>
      <c r="CK12" s="99"/>
      <c r="CL12" s="100"/>
      <c r="CM12" s="101"/>
      <c r="CN12" s="99"/>
      <c r="CO12" s="102"/>
      <c r="CP12" s="98"/>
      <c r="CQ12" s="99"/>
      <c r="CR12" s="100"/>
      <c r="CS12" s="101"/>
      <c r="CT12" s="99"/>
      <c r="CU12" s="100"/>
      <c r="CV12" s="101"/>
      <c r="CW12" s="99"/>
      <c r="CX12" s="100"/>
      <c r="CY12" s="101"/>
      <c r="CZ12" s="99"/>
      <c r="DA12" s="100"/>
      <c r="DB12" s="101"/>
      <c r="DC12" s="99"/>
      <c r="DD12" s="102"/>
      <c r="DE12" s="98"/>
      <c r="DF12" s="99"/>
      <c r="DG12" s="100"/>
      <c r="DH12" s="101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</row>
    <row r="13" spans="1:123" ht="19.5" customHeight="1" x14ac:dyDescent="0.25">
      <c r="B13" s="134" t="str">
        <f>Donnees!$C$25</f>
        <v>Git</v>
      </c>
      <c r="C13" s="103">
        <v>0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6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  <c r="DE13" s="92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</row>
    <row r="14" spans="1:123" ht="19.5" customHeight="1" thickBot="1" x14ac:dyDescent="0.3">
      <c r="B14" s="128"/>
      <c r="C14" s="104">
        <v>7</v>
      </c>
      <c r="D14" s="98"/>
      <c r="E14" s="99"/>
      <c r="F14" s="100"/>
      <c r="G14" s="101"/>
      <c r="H14" s="121"/>
      <c r="I14" s="122"/>
      <c r="J14" s="101"/>
      <c r="K14" s="99"/>
      <c r="L14" s="100"/>
      <c r="M14" s="101"/>
      <c r="N14" s="99"/>
      <c r="O14" s="100"/>
      <c r="P14" s="101"/>
      <c r="Q14" s="99"/>
      <c r="R14" s="102"/>
      <c r="S14" s="98"/>
      <c r="T14" s="99"/>
      <c r="U14" s="100"/>
      <c r="V14" s="123"/>
      <c r="W14" s="99"/>
      <c r="X14" s="100"/>
      <c r="Y14" s="101"/>
      <c r="Z14" s="99"/>
      <c r="AA14" s="100"/>
      <c r="AB14" s="101"/>
      <c r="AC14" s="99"/>
      <c r="AD14" s="100"/>
      <c r="AE14" s="123"/>
      <c r="AF14" s="99"/>
      <c r="AG14" s="102"/>
      <c r="AH14" s="98"/>
      <c r="AI14" s="99"/>
      <c r="AJ14" s="100"/>
      <c r="AK14" s="101"/>
      <c r="AL14" s="99"/>
      <c r="AM14" s="100"/>
      <c r="AN14" s="101"/>
      <c r="AO14" s="99"/>
      <c r="AP14" s="100"/>
      <c r="AQ14" s="101"/>
      <c r="AR14" s="99"/>
      <c r="AS14" s="100"/>
      <c r="AT14" s="101"/>
      <c r="AU14" s="121"/>
      <c r="AV14" s="102"/>
      <c r="AW14" s="98"/>
      <c r="AX14" s="99"/>
      <c r="AY14" s="100"/>
      <c r="AZ14" s="101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120"/>
      <c r="BM14" s="99"/>
      <c r="BN14" s="100"/>
      <c r="BO14" s="101"/>
      <c r="BP14" s="99"/>
      <c r="BQ14" s="100"/>
      <c r="BR14" s="101"/>
      <c r="BS14" s="99"/>
      <c r="BT14" s="122"/>
      <c r="BU14" s="101"/>
      <c r="BV14" s="99"/>
      <c r="BW14" s="100"/>
      <c r="BX14" s="101"/>
      <c r="BY14" s="99"/>
      <c r="BZ14" s="102"/>
      <c r="CA14" s="98"/>
      <c r="CB14" s="99"/>
      <c r="CC14" s="100"/>
      <c r="CD14" s="101"/>
      <c r="CE14" s="99"/>
      <c r="CF14" s="100"/>
      <c r="CG14" s="101"/>
      <c r="CH14" s="99"/>
      <c r="CI14" s="100"/>
      <c r="CJ14" s="101"/>
      <c r="CK14" s="99"/>
      <c r="CL14" s="100"/>
      <c r="CM14" s="101"/>
      <c r="CN14" s="99"/>
      <c r="CO14" s="102"/>
      <c r="CP14" s="98"/>
      <c r="CQ14" s="99"/>
      <c r="CR14" s="100"/>
      <c r="CS14" s="101"/>
      <c r="CT14" s="99"/>
      <c r="CU14" s="100"/>
      <c r="CV14" s="101"/>
      <c r="CW14" s="99"/>
      <c r="CX14" s="100"/>
      <c r="CY14" s="101"/>
      <c r="CZ14" s="99"/>
      <c r="DA14" s="100"/>
      <c r="DB14" s="101"/>
      <c r="DC14" s="99"/>
      <c r="DD14" s="102"/>
      <c r="DE14" s="98"/>
      <c r="DF14" s="99"/>
      <c r="DG14" s="100"/>
      <c r="DH14" s="101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</row>
    <row r="15" spans="1:123" ht="19.5" customHeight="1" x14ac:dyDescent="0.25">
      <c r="B15" s="134" t="str">
        <f>Donnees!$C$26</f>
        <v>Autre</v>
      </c>
      <c r="C15" s="103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92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  <c r="DE15" s="92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</row>
    <row r="16" spans="1:123" ht="19.5" customHeight="1" thickBot="1" x14ac:dyDescent="0.3">
      <c r="A16" s="115"/>
      <c r="B16" s="128"/>
      <c r="C16" s="104">
        <v>13</v>
      </c>
      <c r="D16" s="120"/>
      <c r="E16" s="121"/>
      <c r="F16" s="100"/>
      <c r="G16" s="101"/>
      <c r="H16" s="99"/>
      <c r="I16" s="100"/>
      <c r="J16" s="101"/>
      <c r="K16" s="99"/>
      <c r="L16" s="100"/>
      <c r="M16" s="101"/>
      <c r="N16" s="99"/>
      <c r="O16" s="100"/>
      <c r="P16" s="101"/>
      <c r="Q16" s="99"/>
      <c r="R16" s="102"/>
      <c r="S16" s="98"/>
      <c r="T16" s="99"/>
      <c r="U16" s="100"/>
      <c r="V16" s="101"/>
      <c r="W16" s="99"/>
      <c r="X16" s="100"/>
      <c r="Y16" s="101"/>
      <c r="Z16" s="99"/>
      <c r="AA16" s="100"/>
      <c r="AB16" s="101"/>
      <c r="AC16" s="99"/>
      <c r="AD16" s="100"/>
      <c r="AE16" s="101"/>
      <c r="AF16" s="99"/>
      <c r="AG16" s="102"/>
      <c r="AH16" s="98"/>
      <c r="AI16" s="99"/>
      <c r="AJ16" s="100"/>
      <c r="AK16" s="101"/>
      <c r="AL16" s="99"/>
      <c r="AM16" s="100"/>
      <c r="AN16" s="101"/>
      <c r="AO16" s="99"/>
      <c r="AP16" s="100"/>
      <c r="AQ16" s="101"/>
      <c r="AR16" s="99"/>
      <c r="AS16" s="100"/>
      <c r="AT16" s="101"/>
      <c r="AU16" s="99"/>
      <c r="AV16" s="102"/>
      <c r="AW16" s="98"/>
      <c r="AX16" s="99"/>
      <c r="AY16" s="122"/>
      <c r="AZ16" s="101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0"/>
      <c r="BX16" s="101"/>
      <c r="BY16" s="99"/>
      <c r="BZ16" s="102"/>
      <c r="CA16" s="98"/>
      <c r="CB16" s="99"/>
      <c r="CC16" s="100"/>
      <c r="CD16" s="101"/>
      <c r="CE16" s="99"/>
      <c r="CF16" s="100"/>
      <c r="CG16" s="123"/>
      <c r="CH16" s="121"/>
      <c r="CI16" s="122"/>
      <c r="CJ16" s="101"/>
      <c r="CK16" s="99"/>
      <c r="CL16" s="100"/>
      <c r="CM16" s="101"/>
      <c r="CN16" s="99"/>
      <c r="CO16" s="124"/>
      <c r="CP16" s="120"/>
      <c r="CQ16" s="121"/>
      <c r="CR16" s="122"/>
      <c r="CS16" s="123"/>
      <c r="CT16" s="121"/>
      <c r="CU16" s="122"/>
      <c r="CV16" s="101"/>
      <c r="CW16" s="99"/>
      <c r="CX16" s="100"/>
      <c r="CY16" s="101"/>
      <c r="CZ16" s="99"/>
      <c r="DA16" s="100"/>
      <c r="DB16" s="101"/>
      <c r="DC16" s="99"/>
      <c r="DD16" s="102"/>
      <c r="DE16" s="98"/>
      <c r="DF16" s="99"/>
      <c r="DG16" s="100"/>
      <c r="DH16" s="101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</row>
    <row r="17" spans="2:123" ht="19.5" customHeight="1" x14ac:dyDescent="0.25">
      <c r="B17" s="127" t="str">
        <f>Donnees!$C$27</f>
        <v>Imprévus</v>
      </c>
      <c r="C17" s="103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  <c r="DE17" s="92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</row>
    <row r="18" spans="2:123" ht="19.5" customHeight="1" x14ac:dyDescent="0.25">
      <c r="B18" s="128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0"/>
      <c r="P18" s="101"/>
      <c r="Q18" s="99"/>
      <c r="R18" s="102"/>
      <c r="S18" s="98"/>
      <c r="T18" s="99"/>
      <c r="U18" s="100"/>
      <c r="V18" s="101"/>
      <c r="W18" s="99"/>
      <c r="X18" s="100"/>
      <c r="Y18" s="101"/>
      <c r="Z18" s="99"/>
      <c r="AA18" s="100"/>
      <c r="AB18" s="101"/>
      <c r="AC18" s="99"/>
      <c r="AD18" s="100"/>
      <c r="AE18" s="101"/>
      <c r="AF18" s="99"/>
      <c r="AG18" s="102"/>
      <c r="AH18" s="98"/>
      <c r="AI18" s="99"/>
      <c r="AJ18" s="100"/>
      <c r="AK18" s="101"/>
      <c r="AL18" s="99"/>
      <c r="AM18" s="100"/>
      <c r="AN18" s="101"/>
      <c r="AO18" s="99"/>
      <c r="AP18" s="100"/>
      <c r="AQ18" s="101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0"/>
      <c r="BX18" s="101"/>
      <c r="BY18" s="99"/>
      <c r="BZ18" s="102"/>
      <c r="CA18" s="98"/>
      <c r="CB18" s="99"/>
      <c r="CC18" s="100"/>
      <c r="CD18" s="101"/>
      <c r="CE18" s="99"/>
      <c r="CF18" s="100"/>
      <c r="CG18" s="101"/>
      <c r="CH18" s="99"/>
      <c r="CI18" s="100"/>
      <c r="CJ18" s="101"/>
      <c r="CK18" s="99"/>
      <c r="CL18" s="100"/>
      <c r="CM18" s="101"/>
      <c r="CN18" s="99"/>
      <c r="CO18" s="102"/>
      <c r="CP18" s="98"/>
      <c r="CQ18" s="99"/>
      <c r="CR18" s="100"/>
      <c r="CS18" s="101"/>
      <c r="CT18" s="99"/>
      <c r="CU18" s="100"/>
      <c r="CV18" s="101"/>
      <c r="CW18" s="99"/>
      <c r="CX18" s="100"/>
      <c r="CY18" s="101"/>
      <c r="CZ18" s="99"/>
      <c r="DA18" s="100"/>
      <c r="DB18" s="101"/>
      <c r="DC18" s="99"/>
      <c r="DD18" s="102"/>
      <c r="DE18" s="98"/>
      <c r="DF18" s="99"/>
      <c r="DG18" s="100"/>
      <c r="DH18" s="101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</row>
    <row r="19" spans="2:123" ht="19.5" customHeight="1" x14ac:dyDescent="0.25">
      <c r="B19" s="105" t="s">
        <v>19</v>
      </c>
      <c r="C19" s="106">
        <f>SUM($C$3,$C$5,$C$7,$C$9,$C$11,$C$13,$C$15,$C$17)</f>
        <v>0</v>
      </c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9"/>
      <c r="S19" s="107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9"/>
      <c r="AH19" s="107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9"/>
      <c r="AW19" s="107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9"/>
      <c r="BL19" s="107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9"/>
      <c r="CA19" s="107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9"/>
      <c r="CP19" s="107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9"/>
      <c r="DE19" s="107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9"/>
    </row>
    <row r="20" spans="2:123" ht="19.5" customHeight="1" thickBot="1" x14ac:dyDescent="0.3">
      <c r="B20" s="110" t="s">
        <v>20</v>
      </c>
      <c r="C20" s="111">
        <f>SUM($C$4,$C$6,$C$8,$C$10,$C$12,$C$14,$C$16,$C$18)</f>
        <v>96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4"/>
      <c r="S20" s="112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4"/>
      <c r="AH20" s="112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4"/>
      <c r="AW20" s="112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4"/>
      <c r="BL20" s="112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4"/>
      <c r="CA20" s="112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4"/>
      <c r="CP20" s="112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4"/>
      <c r="DE20" s="112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</row>
  </sheetData>
  <sheetProtection sheet="1" objects="1" scenarios="1" insertRows="0" selectLockedCells="1"/>
  <mergeCells count="16">
    <mergeCell ref="BL2:BZ2"/>
    <mergeCell ref="CA2:CO2"/>
    <mergeCell ref="CP2:DD2"/>
    <mergeCell ref="DE2:DS2"/>
    <mergeCell ref="B15:B16"/>
    <mergeCell ref="B17:B18"/>
    <mergeCell ref="D2:R2"/>
    <mergeCell ref="S2:AG2"/>
    <mergeCell ref="AH2:AV2"/>
    <mergeCell ref="AW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5" t="s">
        <v>18</v>
      </c>
      <c r="C3" s="16">
        <v>0</v>
      </c>
    </row>
    <row r="4" spans="1:4" ht="19.5" customHeight="1" x14ac:dyDescent="0.25">
      <c r="A4" s="19"/>
      <c r="B4" s="13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G125" sqref="G12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45237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15</v>
      </c>
      <c r="B3" s="4">
        <v>2</v>
      </c>
      <c r="C3" s="118" t="s">
        <v>45</v>
      </c>
      <c r="D3" s="9"/>
    </row>
    <row r="4" spans="1:4" s="52" customFormat="1" x14ac:dyDescent="0.25">
      <c r="A4" s="1" t="s">
        <v>14</v>
      </c>
      <c r="B4" s="2">
        <v>3</v>
      </c>
      <c r="C4" s="119" t="s">
        <v>49</v>
      </c>
      <c r="D4" s="10"/>
    </row>
    <row r="5" spans="1:4" s="52" customFormat="1" x14ac:dyDescent="0.25">
      <c r="A5" s="1" t="s">
        <v>35</v>
      </c>
      <c r="B5" s="2">
        <v>2</v>
      </c>
      <c r="C5" s="119" t="s">
        <v>46</v>
      </c>
      <c r="D5" s="10"/>
    </row>
    <row r="6" spans="1:4" s="52" customFormat="1" x14ac:dyDescent="0.25">
      <c r="A6" s="1" t="s">
        <v>38</v>
      </c>
      <c r="B6" s="2">
        <v>2</v>
      </c>
      <c r="C6" s="119" t="s">
        <v>50</v>
      </c>
      <c r="D6" s="10"/>
    </row>
    <row r="7" spans="1:4" s="52" customFormat="1" x14ac:dyDescent="0.25">
      <c r="A7" s="1" t="s">
        <v>36</v>
      </c>
      <c r="B7" s="2">
        <v>4</v>
      </c>
      <c r="C7" s="119" t="s">
        <v>47</v>
      </c>
      <c r="D7" s="10"/>
    </row>
    <row r="8" spans="1:4" s="52" customFormat="1" x14ac:dyDescent="0.25">
      <c r="A8" s="1" t="s">
        <v>37</v>
      </c>
      <c r="B8" s="2">
        <v>2</v>
      </c>
      <c r="C8" s="119" t="s">
        <v>48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15</v>
      </c>
      <c r="C18" s="117" t="s">
        <v>39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45244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 t="s">
        <v>14</v>
      </c>
      <c r="B22" s="4">
        <v>1</v>
      </c>
      <c r="C22" s="9"/>
      <c r="D22" s="9"/>
    </row>
    <row r="23" spans="1:8" x14ac:dyDescent="0.25">
      <c r="A23" s="1" t="s">
        <v>35</v>
      </c>
      <c r="B23" s="2">
        <v>2</v>
      </c>
      <c r="C23" s="119" t="s">
        <v>51</v>
      </c>
      <c r="D23" s="10"/>
    </row>
    <row r="24" spans="1:8" x14ac:dyDescent="0.25">
      <c r="A24" s="1" t="s">
        <v>36</v>
      </c>
      <c r="B24" s="2">
        <v>4</v>
      </c>
      <c r="C24" s="119" t="s">
        <v>52</v>
      </c>
      <c r="D24" s="10"/>
    </row>
    <row r="25" spans="1:8" ht="12.75" customHeight="1" x14ac:dyDescent="0.25">
      <c r="A25" s="1" t="s">
        <v>38</v>
      </c>
      <c r="B25" s="2">
        <v>1</v>
      </c>
      <c r="C25" s="119" t="s">
        <v>53</v>
      </c>
      <c r="D25" s="10"/>
      <c r="F25" s="31"/>
      <c r="G25" s="32"/>
      <c r="H25" s="33"/>
    </row>
    <row r="26" spans="1:8" ht="15" x14ac:dyDescent="0.25">
      <c r="A26" s="1" t="s">
        <v>37</v>
      </c>
      <c r="B26" s="2">
        <v>7</v>
      </c>
      <c r="C26" s="119" t="s">
        <v>54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15</v>
      </c>
      <c r="C37" s="117" t="s">
        <v>39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45251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 t="s">
        <v>14</v>
      </c>
      <c r="B41" s="4">
        <v>1</v>
      </c>
      <c r="C41" s="9"/>
      <c r="D41" s="9"/>
    </row>
    <row r="42" spans="1:8" x14ac:dyDescent="0.25">
      <c r="A42" s="1" t="s">
        <v>35</v>
      </c>
      <c r="B42" s="2">
        <v>1</v>
      </c>
      <c r="C42" s="10"/>
      <c r="D42" s="10"/>
    </row>
    <row r="43" spans="1:8" x14ac:dyDescent="0.25">
      <c r="A43" s="1" t="s">
        <v>38</v>
      </c>
      <c r="B43" s="2">
        <v>1</v>
      </c>
      <c r="C43" s="10"/>
      <c r="D43" s="10"/>
    </row>
    <row r="44" spans="1:8" x14ac:dyDescent="0.25">
      <c r="A44" s="1" t="s">
        <v>36</v>
      </c>
      <c r="B44" s="2">
        <v>3</v>
      </c>
      <c r="C44" s="119" t="s">
        <v>55</v>
      </c>
      <c r="D44" s="10"/>
    </row>
    <row r="45" spans="1:8" x14ac:dyDescent="0.25">
      <c r="A45" s="1" t="s">
        <v>37</v>
      </c>
      <c r="B45" s="2">
        <v>9</v>
      </c>
      <c r="C45" s="119" t="s">
        <v>56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15</v>
      </c>
      <c r="C56" s="117" t="s">
        <v>39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45258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 t="s">
        <v>35</v>
      </c>
      <c r="B60" s="4">
        <v>3</v>
      </c>
      <c r="C60" s="118" t="s">
        <v>57</v>
      </c>
      <c r="D60" s="9"/>
    </row>
    <row r="61" spans="1:4" x14ac:dyDescent="0.25">
      <c r="A61" s="1" t="s">
        <v>38</v>
      </c>
      <c r="B61" s="2">
        <v>1</v>
      </c>
      <c r="C61" s="119" t="s">
        <v>58</v>
      </c>
      <c r="D61" s="10"/>
    </row>
    <row r="62" spans="1:4" x14ac:dyDescent="0.25">
      <c r="A62" s="1" t="s">
        <v>14</v>
      </c>
      <c r="B62" s="2">
        <v>1</v>
      </c>
      <c r="C62" s="10"/>
      <c r="D62" s="10"/>
    </row>
    <row r="63" spans="1:4" x14ac:dyDescent="0.25">
      <c r="A63" s="1" t="s">
        <v>36</v>
      </c>
      <c r="B63" s="2">
        <v>3</v>
      </c>
      <c r="C63" s="119" t="s">
        <v>59</v>
      </c>
      <c r="D63" s="10"/>
    </row>
    <row r="64" spans="1:4" x14ac:dyDescent="0.25">
      <c r="A64" s="1" t="s">
        <v>15</v>
      </c>
      <c r="B64" s="2">
        <v>1</v>
      </c>
      <c r="C64" s="119" t="s">
        <v>60</v>
      </c>
      <c r="D64" s="10"/>
    </row>
    <row r="65" spans="1:4" x14ac:dyDescent="0.25">
      <c r="A65" s="1" t="s">
        <v>37</v>
      </c>
      <c r="B65" s="2">
        <v>6</v>
      </c>
      <c r="C65" s="119" t="s">
        <v>61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15</v>
      </c>
      <c r="C75" s="117" t="s">
        <v>39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45265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 t="s">
        <v>36</v>
      </c>
      <c r="B79" s="4">
        <v>2</v>
      </c>
      <c r="C79" s="118" t="s">
        <v>62</v>
      </c>
      <c r="D79" s="9"/>
    </row>
    <row r="80" spans="1:4" x14ac:dyDescent="0.25">
      <c r="A80" s="1" t="s">
        <v>35</v>
      </c>
      <c r="B80" s="2">
        <v>4</v>
      </c>
      <c r="C80" s="119" t="s">
        <v>63</v>
      </c>
      <c r="D80" s="10"/>
    </row>
    <row r="81" spans="1:4" x14ac:dyDescent="0.25">
      <c r="A81" s="1" t="s">
        <v>38</v>
      </c>
      <c r="B81" s="2">
        <v>1</v>
      </c>
      <c r="C81" s="119" t="s">
        <v>65</v>
      </c>
      <c r="D81" s="10"/>
    </row>
    <row r="82" spans="1:4" x14ac:dyDescent="0.25">
      <c r="A82" s="1" t="s">
        <v>14</v>
      </c>
      <c r="B82" s="2">
        <v>1</v>
      </c>
      <c r="C82" s="10"/>
      <c r="D82" s="10"/>
    </row>
    <row r="83" spans="1:4" x14ac:dyDescent="0.25">
      <c r="A83" s="1" t="s">
        <v>37</v>
      </c>
      <c r="B83" s="2">
        <v>7</v>
      </c>
      <c r="C83" s="119" t="s">
        <v>64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15</v>
      </c>
      <c r="C94" s="117" t="s">
        <v>39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45272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 t="s">
        <v>38</v>
      </c>
      <c r="B98" s="4">
        <v>1</v>
      </c>
      <c r="C98" s="118" t="s">
        <v>65</v>
      </c>
      <c r="D98" s="9"/>
    </row>
    <row r="99" spans="1:4" x14ac:dyDescent="0.25">
      <c r="A99" s="1" t="s">
        <v>35</v>
      </c>
      <c r="B99" s="2">
        <v>8</v>
      </c>
      <c r="C99" s="119" t="s">
        <v>66</v>
      </c>
      <c r="D99" s="10"/>
    </row>
    <row r="100" spans="1:4" x14ac:dyDescent="0.25">
      <c r="A100" s="1" t="s">
        <v>37</v>
      </c>
      <c r="B100" s="2">
        <v>4</v>
      </c>
      <c r="C100" s="119" t="s">
        <v>67</v>
      </c>
      <c r="D100" s="10"/>
    </row>
    <row r="101" spans="1:4" x14ac:dyDescent="0.25">
      <c r="A101" s="1" t="s">
        <v>14</v>
      </c>
      <c r="B101" s="2">
        <v>1</v>
      </c>
      <c r="C101" s="119" t="s">
        <v>68</v>
      </c>
      <c r="D101" s="10"/>
    </row>
    <row r="102" spans="1:4" x14ac:dyDescent="0.25">
      <c r="A102" s="1" t="s">
        <v>15</v>
      </c>
      <c r="B102" s="2">
        <v>1</v>
      </c>
      <c r="C102" s="119" t="s">
        <v>69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15</v>
      </c>
      <c r="C113" s="117" t="s">
        <v>39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45279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 t="s">
        <v>14</v>
      </c>
      <c r="B117" s="4">
        <v>1</v>
      </c>
      <c r="C117" s="118" t="s">
        <v>70</v>
      </c>
      <c r="D117" s="9"/>
    </row>
    <row r="118" spans="1:4" x14ac:dyDescent="0.25">
      <c r="A118" s="1" t="s">
        <v>15</v>
      </c>
      <c r="B118" s="2">
        <v>2</v>
      </c>
      <c r="C118" s="119" t="s">
        <v>74</v>
      </c>
      <c r="D118" s="10"/>
    </row>
    <row r="119" spans="1:4" x14ac:dyDescent="0.25">
      <c r="A119" s="1" t="s">
        <v>35</v>
      </c>
      <c r="B119" s="2">
        <v>5</v>
      </c>
      <c r="C119" s="119" t="s">
        <v>71</v>
      </c>
      <c r="D119" s="10"/>
    </row>
    <row r="120" spans="1:4" x14ac:dyDescent="0.25">
      <c r="A120" s="1" t="s">
        <v>15</v>
      </c>
      <c r="B120" s="2">
        <v>6</v>
      </c>
      <c r="C120" s="119" t="s">
        <v>72</v>
      </c>
      <c r="D120" s="10"/>
    </row>
    <row r="121" spans="1:4" x14ac:dyDescent="0.25">
      <c r="A121" s="1" t="s">
        <v>15</v>
      </c>
      <c r="B121" s="2">
        <v>1</v>
      </c>
      <c r="C121" s="119" t="s">
        <v>73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15</v>
      </c>
      <c r="C132" s="117" t="s">
        <v>39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$D$115+21</f>
        <v>45300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117" t="s">
        <v>39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6" t="s">
        <v>32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3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Evin Paramanathan</cp:lastModifiedBy>
  <cp:revision/>
  <dcterms:created xsi:type="dcterms:W3CDTF">1996-10-21T11:03:58Z</dcterms:created>
  <dcterms:modified xsi:type="dcterms:W3CDTF">2023-12-19T15:31:19Z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